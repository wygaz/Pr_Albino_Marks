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592557aa674b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imativa_API" sheetId="1" r:id="R7a5ac708bef64ca4"/>
    <x:sheet xmlns:r="http://schemas.openxmlformats.org/officeDocument/2006/relationships" name="Modelos" sheetId="2" r:id="Rc56901d28137482c"/>
    <x:sheet xmlns:r="http://schemas.openxmlformats.org/officeDocument/2006/relationships" name="Cenarios_Demanda" sheetId="3" r:id="Re2b4b6386d0c4f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$0.0000"/>
    <x:numFmt numFmtId="165" formatCode="$0.00"/>
    <x:numFmt numFmtId="166" formatCode="R$ #,##0.00"/>
    <x:numFmt numFmtId="167" formatCode="$0.000"/>
    <x:numFmt numFmtId="168" formatCode="0.0"/>
  </x:numFmts>
  <x:fonts count="5">
    <x:font>
      <x:sz val="11"/>
      <x:color theme="1"/>
      <x:name val="Calibri"/>
      <x:family val="2"/>
      <x:scheme val="minor"/>
    </x:font>
    <x:font>
      <x:b/>
      <x:sz val="14"/>
    </x:font>
    <x:font>
      <x:b/>
    </x:font>
    <x:font>
      <x:color rgb="000000FF"/>
    </x:font>
    <x:font>
      <x:b/>
      <x:color rgb="00FFFFFF"/>
    </x:font>
  </x:fonts>
  <x:fills count="4">
    <x:fill>
      <x:patternFill patternType="none"/>
    </x:fill>
    <x:fill>
      <x:patternFill patternType="gray125"/>
    </x:fill>
    <x:fill>
      <x:patternFill patternType="solid">
        <x:fgColor rgb="00D9E1F2"/>
      </x:patternFill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A6A6A6"/>
      </x:left>
      <x:right style="thin">
        <x:color rgb="00A6A6A6"/>
      </x:right>
      <x:top style="thin">
        <x:color rgb="00A6A6A6"/>
      </x:top>
      <x:bottom style="thin">
        <x:color rgb="00A6A6A6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/>
    <x:xf numFmtId="0" fontId="2" fillId="2" borderId="0" xfId="0"/>
    <x:xf numFmtId="0" fontId="0" fillId="0" borderId="1" xfId="0" applyAlignment="1">
      <x:alignment horizontal="left" vertical="center"/>
    </x:xf>
    <x:xf numFmtId="1" fontId="3" fillId="0" borderId="1" xfId="0" applyAlignment="1">
      <x:alignment horizontal="right" vertical="center"/>
    </x:xf>
    <x:xf numFmtId="2" fontId="3" fillId="0" borderId="1" xfId="0" applyAlignment="1">
      <x:alignment horizontal="right" vertical="center"/>
    </x:xf>
    <x:xf numFmtId="0" fontId="3" fillId="0" borderId="1" xfId="0" applyAlignment="1">
      <x:alignment horizontal="right" vertical="center"/>
    </x:xf>
    <x:xf numFmtId="0" fontId="4" fillId="3" borderId="1" xfId="0" applyAlignment="1">
      <x:alignment horizontal="center" vertical="center"/>
    </x:xf>
    <x:xf numFmtId="1" fontId="0" fillId="0" borderId="1" xfId="0" applyAlignment="1">
      <x:alignment horizontal="right" vertical="center"/>
    </x:xf>
    <x:xf numFmtId="164" fontId="0" fillId="0" borderId="1" xfId="0" applyAlignment="1">
      <x:alignment horizontal="right" vertical="center"/>
    </x:xf>
    <x:xf numFmtId="165" fontId="0" fillId="0" borderId="1" xfId="0" applyAlignment="1">
      <x:alignment horizontal="right" vertical="center"/>
    </x:xf>
    <x:xf numFmtId="166" fontId="0" fillId="0" borderId="1" xfId="0" applyAlignment="1">
      <x:alignment horizontal="right" vertical="center"/>
    </x:xf>
    <x:xf numFmtId="0" fontId="2" fillId="0" borderId="1" xfId="0" applyAlignment="1">
      <x:alignment horizontal="left" vertical="center"/>
    </x:xf>
    <x:xf numFmtId="1" fontId="2" fillId="0" borderId="1" xfId="0" applyAlignment="1">
      <x:alignment horizontal="right" vertical="center"/>
    </x:xf>
    <x:xf numFmtId="164" fontId="2" fillId="0" borderId="1" xfId="0" applyAlignment="1">
      <x:alignment horizontal="right" vertical="center"/>
    </x:xf>
    <x:xf numFmtId="165" fontId="2" fillId="0" borderId="1" xfId="0" applyAlignment="1">
      <x:alignment horizontal="right" vertical="center"/>
    </x:xf>
    <x:xf numFmtId="166" fontId="2" fillId="0" borderId="1" xfId="0" applyAlignment="1">
      <x:alignment horizontal="right" vertical="center"/>
    </x:xf>
    <x:xf numFmtId="167" fontId="0" fillId="0" borderId="1" xfId="0" applyAlignment="1">
      <x:alignment horizontal="right" vertical="center"/>
    </x:xf>
    <x:xf numFmtId="165" fontId="3" fillId="0" borderId="1" xfId="0"/>
    <x:xf numFmtId="168" fontId="3" fillId="0" borderId="1" xfId="0" applyAlignment="1">
      <x:alignment horizontal="right" vertical="center"/>
    </x:xf>
    <x:xf numFmtId="164" fontId="0" fillId="0" borderId="1" xfId="0" applyAlignment="1">
      <x:alignment horizontal="right" vertical="center"/>
    </x:xf>
    <x:xf numFmtId="165" fontId="0" fillId="0" borderId="1" xfId="0" applyAlignment="1">
      <x:alignment horizontal="right" vertical="center"/>
    </x:xf>
    <x:xf numFmtId="166" fontId="0" fillId="0" borderId="1" xfId="0" applyAlignment="1">
      <x:alignment horizontal="right" vertical="center"/>
    </x:xf>
    <x:xf numFmtId="164" fontId="2" fillId="0" borderId="1" xfId="0" applyAlignment="1">
      <x:alignment horizontal="right" vertical="center"/>
    </x:xf>
    <x:xf numFmtId="165" fontId="2" fillId="0" borderId="1" xfId="0" applyAlignment="1">
      <x:alignment horizontal="right" vertical="center"/>
    </x:xf>
    <x:xf numFmtId="166" fontId="2" fillId="0" borderId="1" xfId="0" applyAlignment="1">
      <x:alignment horizontal="right" vertical="center"/>
    </x:xf>
    <x:xf numFmtId="167" fontId="0" fillId="0" borderId="1" xfId="0" applyAlignment="1">
      <x:alignment horizontal="right" vertical="center"/>
    </x:xf>
    <x:xf numFmtId="165" fontId="3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59373bdbd84e1c" /><Relationship Type="http://schemas.openxmlformats.org/officeDocument/2006/relationships/theme" Target="/xl/theme/theme1.xml" Id="Rc8b1bc15e0d04901" /><Relationship Type="http://schemas.openxmlformats.org/officeDocument/2006/relationships/sharedStrings" Target="/xl/sharedStrings.xml" Id="R27f7bf299fff4124" /><Relationship Type="http://schemas.openxmlformats.org/officeDocument/2006/relationships/worksheet" Target="/xl/worksheets/sheet1.xml" Id="R7a5ac708bef64ca4" /><Relationship Type="http://schemas.openxmlformats.org/officeDocument/2006/relationships/worksheet" Target="/xl/worksheets/sheet2.xml" Id="Rc56901d28137482c" /><Relationship Type="http://schemas.openxmlformats.org/officeDocument/2006/relationships/worksheet" Target="/xl/worksheets/sheet3.xml" Id="Re2b4b6386d0c4fd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customWidth="1"/>
    <x:col min="2" max="2" width="24" customWidth="1"/>
    <x:col min="3" max="3" width="18" customWidth="1"/>
    <x:col min="4" max="4" width="22" customWidth="1"/>
    <x:col min="5" max="5" width="22" customWidth="1"/>
  </x:cols>
  <x:sheetData>
    <x:row r="1">
      <x:c r="A1" s="1" t="inlineStr">
        <x:is>
          <x:t xml:space="preserve">Estimativa de custos (API) — Sermões e Sermonetes</x:t>
        </x:is>
      </x:c>
    </x:row>
    <x:row r="3">
      <x:c r="A3" s="2" t="inlineStr">
        <x:is>
          <x:t xml:space="preserve">Entradas (ajuste as células em azul)</x:t>
        </x:is>
      </x:c>
    </x:row>
    <x:row r="4">
      <x:c r="A4" s="3" t="inlineStr">
        <x:is>
          <x:t xml:space="preserve">Artigos efetivos</x:t>
        </x:is>
      </x:c>
      <x:c r="B4" s="4" t="n">
        <x:v>54</x:v>
      </x:c>
      <x:c r="C4" s="3" t="inlineStr">
        <x:is>
          <x:t xml:space="preserve">qtde</x:t>
        </x:is>
      </x:c>
    </x:row>
    <x:row r="5">
      <x:c r="A5" s="3" t="inlineStr">
        <x:is>
          <x:t xml:space="preserve">Sermões por artigo (25 min)</x:t>
        </x:is>
      </x:c>
      <x:c r="B5" s="4" t="n">
        <x:v>5</x:v>
      </x:c>
      <x:c r="C5" s="3" t="inlineStr">
        <x:is>
          <x:t xml:space="preserve">qtde</x:t>
        </x:is>
      </x:c>
    </x:row>
    <x:row r="6">
      <x:c r="A6" s="3" t="inlineStr">
        <x:is>
          <x:t xml:space="preserve">Sermonetes por artigo (15 min)</x:t>
        </x:is>
      </x:c>
      <x:c r="B6" s="4" t="n">
        <x:v>5</x:v>
      </x:c>
      <x:c r="C6" s="3" t="inlineStr">
        <x:is>
          <x:t xml:space="preserve">qtde</x:t>
        </x:is>
      </x:c>
    </x:row>
    <x:row r="7">
      <x:c r="A7" s="3" t="inlineStr">
        <x:is>
          <x:t xml:space="preserve">Minutos por sermão</x:t>
        </x:is>
      </x:c>
      <x:c r="B7" s="4" t="n">
        <x:v>25</x:v>
      </x:c>
      <x:c r="C7" s="3" t="inlineStr">
        <x:is>
          <x:t xml:space="preserve">min</x:t>
        </x:is>
      </x:c>
    </x:row>
    <x:row r="8">
      <x:c r="A8" s="3" t="inlineStr">
        <x:is>
          <x:t xml:space="preserve">Minutos por sermonete</x:t>
        </x:is>
      </x:c>
      <x:c r="B8" s="4" t="n">
        <x:v>15</x:v>
      </x:c>
      <x:c r="C8" s="3" t="inlineStr">
        <x:is>
          <x:t xml:space="preserve">min</x:t>
        </x:is>
      </x:c>
    </x:row>
    <x:row r="9">
      <x:c r="A9" s="3" t="inlineStr">
        <x:is>
          <x:t xml:space="preserve">Palavras por minuto (fala)</x:t>
        </x:is>
      </x:c>
      <x:c r="B9" s="4" t="n">
        <x:v>130</x:v>
      </x:c>
      <x:c r="C9" s="3" t="inlineStr">
        <x:is>
          <x:t xml:space="preserve">wpm</x:t>
        </x:is>
      </x:c>
    </x:row>
    <x:row r="10">
      <x:c r="A10" s="3" t="inlineStr">
        <x:is>
          <x:t xml:space="preserve">Tokens por palavra (aprox.)</x:t>
        </x:is>
      </x:c>
      <x:c r="B10" s="5" t="n">
        <x:v>1.33</x:v>
      </x:c>
      <x:c r="C10" s="3" t="inlineStr">
        <x:is>
          <x:t xml:space="preserve">tok/word</x:t>
        </x:is>
      </x:c>
    </x:row>
    <x:row r="11">
      <x:c r="A11" s="3" t="inlineStr">
        <x:is>
          <x:t xml:space="preserve">Multiplicador de formatação (overhead)</x:t>
        </x:is>
      </x:c>
      <x:c r="B11" s="5" t="n">
        <x:v>1.05</x:v>
      </x:c>
      <x:c r="C11" s="3" t="inlineStr">
        <x:is>
          <x:t xml:space="preserve">x</x:t>
        </x:is>
      </x:c>
    </x:row>
    <x:row r="12">
      <x:c r="A12" s="3" t="inlineStr">
        <x:is>
          <x:t xml:space="preserve">Tokens de entrada por sermão (prompt + âncoras)</x:t>
        </x:is>
      </x:c>
      <x:c r="B12" s="4" t="n">
        <x:v>2000</x:v>
      </x:c>
      <x:c r="C12" s="3" t="inlineStr">
        <x:is>
          <x:t xml:space="preserve">tok</x:t>
        </x:is>
      </x:c>
    </x:row>
    <x:row r="13">
      <x:c r="A13" s="3" t="inlineStr">
        <x:is>
          <x:t xml:space="preserve">Tokens de entrada por sermonete (prompt + âncoras)</x:t>
        </x:is>
      </x:c>
      <x:c r="B13" s="4" t="n">
        <x:v>1500</x:v>
      </x:c>
      <x:c r="C13" s="3" t="inlineStr">
        <x:is>
          <x:t xml:space="preserve">tok</x:t>
        </x:is>
      </x:c>
    </x:row>
    <x:row r="14">
      <x:c r="A14" s="3" t="inlineStr">
        <x:is>
          <x:t xml:space="preserve">Desconto Batch (0 ou 0,5)</x:t>
        </x:is>
      </x:c>
      <x:c r="B14" s="5" t="n">
        <x:v>0</x:v>
      </x:c>
      <x:c r="C14" s="3" t="inlineStr">
        <x:is>
          <x:t xml:space="preserve">fator</x:t>
        </x:is>
      </x:c>
    </x:row>
    <x:row r="15">
      <x:c r="A15" s="3" t="inlineStr">
        <x:is>
          <x:t xml:space="preserve">USD→BRL (câmbio)</x:t>
        </x:is>
      </x:c>
      <x:c r="B15" s="5" t="n">
        <x:v>5.24</x:v>
      </x:c>
      <x:c r="C15" s="3" t="inlineStr">
        <x:is>
          <x:t xml:space="preserve">R$/USD</x:t>
        </x:is>
      </x:c>
    </x:row>
    <x:row r="16">
      <x:c r="A16" s="3" t="inlineStr">
        <x:is>
          <x:t xml:space="preserve">Modelo escolhido (digite exatamente)</x:t>
        </x:is>
      </x:c>
      <x:c r="B16" s="6" t="inlineStr">
        <x:is>
          <x:t xml:space="preserve">gpt-4o-mini</x:t>
        </x:is>
      </x:c>
      <x:c r="C16" s="3" t="inlineStr">
        <x:is>
          <x:t xml:space="preserve"/>
        </x:is>
      </x:c>
    </x:row>
    <x:row r="19">
      <x:c r="A19" s="2" t="inlineStr">
        <x:is>
          <x:t xml:space="preserve">Resultados</x:t>
        </x:is>
      </x:c>
    </x:row>
    <x:row r="20">
      <x:c r="A20" s="7" t="inlineStr">
        <x:is>
          <x:t xml:space="preserve">Item</x:t>
        </x:is>
      </x:c>
      <x:c r="B20" s="7" t="inlineStr">
        <x:is>
          <x:t xml:space="preserve">Quantidade</x:t>
        </x:is>
      </x:c>
      <x:c r="C20" s="7" t="inlineStr">
        <x:is>
          <x:t xml:space="preserve">Custo unitário (USD)</x:t>
        </x:is>
      </x:c>
      <x:c r="D20" s="7" t="inlineStr">
        <x:is>
          <x:t xml:space="preserve">Custo total (USD)</x:t>
        </x:is>
      </x:c>
      <x:c r="E20" s="7" t="inlineStr">
        <x:is>
          <x:t xml:space="preserve">Custo total (BRL)</x:t>
        </x:is>
      </x:c>
    </x:row>
    <x:row r="21">
      <x:c r="A21" s="3" t="inlineStr">
        <x:is>
          <x:t xml:space="preserve">Sermões (25 min)</x:t>
        </x:is>
      </x:c>
      <x:c r="B21" s="8">
        <x:f>$B$4*$B$5</x:f>
        <x:v>270</x:v>
      </x:c>
      <x:c r="C21" s="20">
        <x:f>(($B$12/1000000*$B$26)+(ROUND($B$7*$B$9*$B$10*$B$11,0)/1000000*$B$27))*(1-$B$14)</x:f>
        <x:v>0.0030233999999999994</x:v>
      </x:c>
      <x:c r="D21" s="21">
        <x:f>ROUND(B21*C21,2)</x:f>
        <x:v>0.82</x:v>
      </x:c>
      <x:c r="E21" s="22">
        <x:f>ROUND(D21*$B$15,2)</x:f>
        <x:v>4.3</x:v>
      </x:c>
    </x:row>
    <x:row r="22">
      <x:c r="A22" s="3" t="inlineStr">
        <x:is>
          <x:t xml:space="preserve">Sermonetes (15 min)</x:t>
        </x:is>
      </x:c>
      <x:c r="B22" s="8">
        <x:f>$B$4*$B$6</x:f>
        <x:v>270</x:v>
      </x:c>
      <x:c r="C22" s="20">
        <x:f>(($B$13/1000000*$B$26)+(ROUND($B$8*$B$9*$B$10*$B$11,0)/1000000*$B$27))*(1-$B$14)</x:f>
        <x:v>0.0018588</x:v>
      </x:c>
      <x:c r="D22" s="21">
        <x:f>ROUND(B22*C22,2)</x:f>
        <x:v>0.5</x:v>
      </x:c>
      <x:c r="E22" s="22">
        <x:f>ROUND(D22*$B$15,2)</x:f>
        <x:v>2.62</x:v>
      </x:c>
    </x:row>
    <x:row r="23">
      <x:c r="A23" s="12" t="inlineStr">
        <x:is>
          <x:t xml:space="preserve">TOTAL</x:t>
        </x:is>
      </x:c>
      <x:c r="B23" s="13">
        <x:f>($B$4*$B$5)+($B$4*$B$6)</x:f>
        <x:v>540</x:v>
      </x:c>
      <x:c r="C23" s="23" t="n"/>
      <x:c r="D23" s="24">
        <x:f>ROUND(D21+D22,2)</x:f>
        <x:v>1.32</x:v>
      </x:c>
      <x:c r="E23" s="25">
        <x:f>ROUND(D23*$B$15,2)</x:f>
        <x:v>6.92</x:v>
      </x:c>
    </x:row>
    <x:row r="25">
      <x:c r="A25" s="2" t="inlineStr">
        <x:is>
          <x:t xml:space="preserve">Preços do modelo (USD por 1M tokens)</x:t>
        </x:is>
      </x:c>
    </x:row>
    <x:row r="26">
      <x:c r="A26" s="3" t="inlineStr">
        <x:is>
          <x:t xml:space="preserve">Preço input ($/1M)</x:t>
        </x:is>
      </x:c>
      <x:c r="B26" s="26">
        <x:f>VLOOKUP($B$16,Modelos!$A:$D,2,FALSE)</x:f>
        <x:v>0.15</x:v>
      </x:c>
    </x:row>
    <x:row r="27">
      <x:c r="A27" s="3" t="inlineStr">
        <x:is>
          <x:t xml:space="preserve">Preço output ($/1M)</x:t>
        </x:is>
      </x:c>
      <x:c r="B27" s="26">
        <x:f>VLOOKUP($B$16,Modelos!$A:$D,3,FALSE)</x:f>
        <x:v>0.6</x:v>
      </x:c>
    </x:row>
    <x:row r="29">
      <x:c r="A29" s="2" t="inlineStr">
        <x:is>
          <x:t xml:space="preserve">Detalhes (tokens estimados)</x:t>
        </x:is>
      </x:c>
    </x:row>
    <x:row r="30">
      <x:c r="A30" s="3" t="inlineStr">
        <x:is>
          <x:t xml:space="preserve">Tokens de saída por sermão (estimado)</x:t>
        </x:is>
      </x:c>
      <x:c r="B30" s="8">
        <x:f>ROUND($B$7*$B$9*$B$10*$B$11,0)</x:f>
        <x:v>4539</x:v>
      </x:c>
    </x:row>
    <x:row r="31">
      <x:c r="A31" s="3" t="inlineStr">
        <x:is>
          <x:t xml:space="preserve">Tokens de saída por sermonete (estimado)</x:t>
        </x:is>
      </x:c>
      <x:c r="B31" s="8">
        <x:f>ROUND($B$8*$B$9*$B$10*$B$11,0)</x:f>
        <x:v>2723</x:v>
      </x:c>
    </x:row>
  </x:sheetData>
  <x:mergeCells>
    <x:mergeCell ref="A29:E29"/>
    <x:mergeCell ref="A25:E25"/>
    <x:mergeCell ref="A19:E19"/>
    <x:mergeCell ref="A1:E1"/>
    <x:mergeCell ref="A3:E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customWidth="1"/>
    <x:col min="2" max="2" width="16" customWidth="1"/>
    <x:col min="3" max="3" width="16" customWidth="1"/>
    <x:col min="4" max="4" width="60" customWidth="1"/>
  </x:cols>
  <x:sheetData>
    <x:row r="1">
      <x:c r="A1" s="7" t="inlineStr">
        <x:is>
          <x:t xml:space="preserve">Modelo</x:t>
        </x:is>
      </x:c>
      <x:c r="B1" s="7" t="inlineStr">
        <x:is>
          <x:t xml:space="preserve">Input $/1M</x:t>
        </x:is>
      </x:c>
      <x:c r="C1" s="7" t="inlineStr">
        <x:is>
          <x:t xml:space="preserve">Output $/1M</x:t>
        </x:is>
      </x:c>
      <x:c r="D1" s="7" t="inlineStr">
        <x:is>
          <x:t xml:space="preserve">Fonte (URL)</x:t>
        </x:is>
      </x:c>
    </x:row>
    <x:row r="2">
      <x:c r="A2" s="3" t="inlineStr">
        <x:is>
          <x:t xml:space="preserve">gpt-4o-mini</x:t>
        </x:is>
      </x:c>
      <x:c r="B2" s="27" t="n">
        <x:v>0.15</x:v>
      </x:c>
      <x:c r="C2" s="27" t="n">
        <x:v>0.6</x:v>
      </x:c>
      <x:c r="D2" s="3" t="inlineStr">
        <x:is>
          <x:t xml:space="preserve">https://developers.openai.com/api/docs/models/gpt-4o-mini</x:t>
        </x:is>
      </x:c>
    </x:row>
    <x:row r="3">
      <x:c r="A3" s="3" t="inlineStr">
        <x:is>
          <x:t xml:space="preserve">gpt-4.1-mini</x:t>
        </x:is>
      </x:c>
      <x:c r="B3" s="27" t="n">
        <x:v>0.4</x:v>
      </x:c>
      <x:c r="C3" s="27" t="n">
        <x:v>1.6</x:v>
      </x:c>
      <x:c r="D3" s="3" t="inlineStr">
        <x:is>
          <x:t xml:space="preserve">https://openai.com/index/gpt-4-1/</x:t>
        </x:is>
      </x:c>
    </x:row>
    <x:row r="4">
      <x:c r="A4" s="3" t="inlineStr">
        <x:is>
          <x:t xml:space="preserve">gpt-5 mini</x:t>
        </x:is>
      </x:c>
      <x:c r="B4" s="27" t="n">
        <x:v>0.25</x:v>
      </x:c>
      <x:c r="C4" s="27" t="n">
        <x:v>2</x:v>
      </x:c>
      <x:c r="D4" s="3" t="inlineStr">
        <x:is>
          <x:t xml:space="preserve">https://openai.com/api/pricing/</x:t>
        </x:is>
      </x:c>
    </x:row>
    <x:row r="5">
      <x:c r="A5" s="3" t="inlineStr">
        <x:is>
          <x:t xml:space="preserve">o3-mini</x:t>
        </x:is>
      </x:c>
      <x:c r="B5" s="27" t="n">
        <x:v>1.1</x:v>
      </x:c>
      <x:c r="C5" s="27" t="n">
        <x:v>4.4</x:v>
      </x:c>
      <x:c r="D5" s="3" t="inlineStr">
        <x:is>
          <x:t xml:space="preserve">https://platform.openai.com/docs/models/o3-mini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customWidth="1"/>
    <x:col min="2" max="2" width="22" customWidth="1"/>
    <x:col min="3" max="3" width="18" customWidth="1"/>
    <x:col min="4" max="4" width="22" customWidth="1"/>
  </x:cols>
  <x:sheetData>
    <x:row r="1">
      <x:c r="A1" s="1" t="inlineStr">
        <x:is>
          <x:t xml:space="preserve">Cenários de demanda (se você decidir gerar sob demanda)</x:t>
        </x:is>
      </x:c>
    </x:row>
    <x:row r="3">
      <x:c r="A3" s="2" t="inlineStr">
        <x:is>
          <x:t xml:space="preserve">Entradas (azul)</x:t>
        </x:is>
      </x:c>
    </x:row>
    <x:row r="4">
      <x:c r="A4" s="3" t="inlineStr">
        <x:is>
          <x:t xml:space="preserve">Usuários por mês</x:t>
        </x:is>
      </x:c>
      <x:c r="B4" s="4" t="n">
        <x:v>2000</x:v>
      </x:c>
      <x:c r="C4" s="3" t="inlineStr">
        <x:is>
          <x:t xml:space="preserve">usuários</x:t>
        </x:is>
      </x:c>
    </x:row>
    <x:row r="5">
      <x:c r="A5" s="3" t="inlineStr">
        <x:is>
          <x:t xml:space="preserve">% que geram sermão (25 min)</x:t>
        </x:is>
      </x:c>
      <x:c r="B5" s="19" t="n">
        <x:v>5</x:v>
      </x:c>
      <x:c r="C5" s="3" t="inlineStr">
        <x:is>
          <x:t xml:space="preserve">%</x:t>
        </x:is>
      </x:c>
    </x:row>
    <x:row r="6">
      <x:c r="A6" s="3" t="inlineStr">
        <x:is>
          <x:t xml:space="preserve">Média de sermões por usuário (entre os que geram)</x:t>
        </x:is>
      </x:c>
      <x:c r="B6" s="5" t="n">
        <x:v>1.2</x:v>
      </x:c>
      <x:c r="C6" s="3" t="inlineStr">
        <x:is>
          <x:t xml:space="preserve">qtd</x:t>
        </x:is>
      </x:c>
    </x:row>
    <x:row r="7">
      <x:c r="A7" s="3" t="inlineStr">
        <x:is>
          <x:t xml:space="preserve">% que geram sermonete (15 min)</x:t>
        </x:is>
      </x:c>
      <x:c r="B7" s="19" t="n">
        <x:v>8</x:v>
      </x:c>
      <x:c r="C7" s="3" t="inlineStr">
        <x:is>
          <x:t xml:space="preserve">%</x:t>
        </x:is>
      </x:c>
    </x:row>
    <x:row r="8">
      <x:c r="A8" s="3" t="inlineStr">
        <x:is>
          <x:t xml:space="preserve">Média de sermonetes por usuário (entre os que geram)</x:t>
        </x:is>
      </x:c>
      <x:c r="B8" s="5" t="n">
        <x:v>1.4</x:v>
      </x:c>
      <x:c r="C8" s="3" t="inlineStr">
        <x:is>
          <x:t xml:space="preserve">qtd</x:t>
        </x:is>
      </x:c>
    </x:row>
    <x:row r="11">
      <x:c r="A11" s="2" t="inlineStr">
        <x:is>
          <x:t xml:space="preserve">Resultados mensais</x:t>
        </x:is>
      </x:c>
    </x:row>
    <x:row r="12">
      <x:c r="A12" s="3" t="inlineStr">
        <x:is>
          <x:t xml:space="preserve">Sermões/mês (qtd)</x:t>
        </x:is>
      </x:c>
      <x:c r="B12" s="8">
        <x:f>ROUND($B$4*($B$5/100)*$B$6,0)</x:f>
        <x:v>120</x:v>
      </x:c>
    </x:row>
    <x:row r="13">
      <x:c r="A13" s="3" t="inlineStr">
        <x:is>
          <x:t xml:space="preserve">Sermonetes/mês (qtd)</x:t>
        </x:is>
      </x:c>
      <x:c r="B13" s="8">
        <x:f>ROUND($B$4*($B$7/100)*$B$8,0)</x:f>
        <x:v>224</x:v>
      </x:c>
    </x:row>
    <x:row r="14">
      <x:c r="A14" s="3" t="inlineStr">
        <x:is>
          <x:t xml:space="preserve">Custo/mês (USD)</x:t>
        </x:is>
      </x:c>
      <x:c r="B14" s="21">
        <x:f>(Estimativa_API!$C$21*B12)+(Estimativa_API!$C$22*B13)</x:f>
        <x:v>0.7791792</x:v>
      </x:c>
    </x:row>
    <x:row r="15">
      <x:c r="A15" s="3" t="inlineStr">
        <x:is>
          <x:t xml:space="preserve">Custo/mês (BRL)</x:t>
        </x:is>
      </x:c>
      <x:c r="B15" s="22">
        <x:f>ROUND(B14*Estimativa_API!$B$15,2)</x:f>
        <x:v>4.08</x:v>
      </x:c>
    </x:row>
  </x:sheetData>
  <x:mergeCells>
    <x:mergeCell ref="A1:D1"/>
    <x:mergeCell ref="A3:D3"/>
    <x:mergeCell ref="A11:D11"/>
  </x:mergeCells>
  <x:pageMargins left="0.7" right="0.7" top="0.75" bottom="0.75" header="0.3" footer="0.3"/>
</x:worksheet>
</file>